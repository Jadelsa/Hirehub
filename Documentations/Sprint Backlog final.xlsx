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od6\Downloads\"/>
    </mc:Choice>
  </mc:AlternateContent>
  <xr:revisionPtr revIDLastSave="0" documentId="8_{3B4CD43E-2D11-4D7C-A46C-E2D42E5BCB87}" xr6:coauthVersionLast="47" xr6:coauthVersionMax="47" xr10:uidLastSave="{00000000-0000-0000-0000-000000000000}"/>
  <bookViews>
    <workbookView xWindow="-98" yWindow="-98" windowWidth="21795" windowHeight="13875" tabRatio="500" activeTab="1" xr2:uid="{00000000-000D-0000-FFFF-FFFF00000000}"/>
  </bookViews>
  <sheets>
    <sheet name="Blank Sprint Backlog" sheetId="5" r:id="rId1"/>
    <sheet name="Blank Sprint Backlog (2)" sheetId="9" r:id="rId2"/>
  </sheets>
  <definedNames>
    <definedName name="_xlnm.Print_Area" localSheetId="0">'Blank Sprint Backlog'!$B$6:$T$41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9" l="1"/>
  <c r="E7" i="9"/>
  <c r="F7" i="9"/>
  <c r="E8" i="9"/>
  <c r="F8" i="9"/>
  <c r="E9" i="9"/>
  <c r="F9" i="9"/>
  <c r="E10" i="9"/>
  <c r="F10" i="9"/>
  <c r="E11" i="9"/>
  <c r="F11" i="9"/>
  <c r="E12" i="9"/>
  <c r="F12" i="9"/>
  <c r="E13" i="9"/>
  <c r="E50" i="9" s="1"/>
  <c r="F3" i="9" s="1"/>
  <c r="F13" i="9"/>
  <c r="E14" i="9"/>
  <c r="F14" i="9"/>
  <c r="E15" i="9"/>
  <c r="F15" i="9" s="1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 s="1"/>
  <c r="E25" i="9"/>
  <c r="F25" i="9" s="1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 s="1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 s="1"/>
  <c r="E43" i="9"/>
  <c r="F43" i="9"/>
  <c r="E44" i="9"/>
  <c r="F44" i="9" s="1"/>
  <c r="E45" i="9"/>
  <c r="F45" i="9"/>
  <c r="E46" i="9"/>
  <c r="F46" i="9"/>
  <c r="E47" i="9"/>
  <c r="F47" i="9"/>
  <c r="E48" i="9"/>
  <c r="F48" i="9"/>
  <c r="E49" i="9"/>
  <c r="F49" i="9"/>
  <c r="D50" i="9"/>
  <c r="E37" i="5"/>
  <c r="E36" i="5"/>
  <c r="E12" i="5"/>
  <c r="E38" i="5"/>
  <c r="F38" i="5"/>
  <c r="E39" i="5"/>
  <c r="F39" i="5"/>
  <c r="E40" i="5"/>
  <c r="F40" i="5"/>
  <c r="E35" i="5"/>
  <c r="F35" i="5"/>
  <c r="E33" i="5"/>
  <c r="F33" i="5"/>
  <c r="E8" i="5"/>
  <c r="E9" i="5"/>
  <c r="E10" i="5"/>
  <c r="E11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4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4" i="5"/>
  <c r="F36" i="5"/>
  <c r="F37" i="5"/>
  <c r="E7" i="5"/>
  <c r="F7" i="5"/>
  <c r="D41" i="5"/>
  <c r="E41" i="5"/>
  <c r="F41" i="5"/>
  <c r="D3" i="5"/>
  <c r="H3" i="5"/>
  <c r="F3" i="5"/>
  <c r="F50" i="9" l="1"/>
  <c r="H3" i="9" s="1"/>
</calcChain>
</file>

<file path=xl/sharedStrings.xml><?xml version="1.0" encoding="utf-8"?>
<sst xmlns="http://schemas.openxmlformats.org/spreadsheetml/2006/main" count="204" uniqueCount="119">
  <si>
    <t>ASSIGNED TO</t>
  </si>
  <si>
    <t>DAY 1</t>
  </si>
  <si>
    <t>DAY 2</t>
  </si>
  <si>
    <t>DAY 3</t>
  </si>
  <si>
    <t>DAY 4</t>
  </si>
  <si>
    <t>DAY 5</t>
  </si>
  <si>
    <t>TOTAL</t>
  </si>
  <si>
    <t>CURRENT DATE</t>
  </si>
  <si>
    <t>SPRINT START DATE</t>
  </si>
  <si>
    <t>ASSIGNED HOURS</t>
  </si>
  <si>
    <t>AVAILABLE HOURS REMAINING</t>
  </si>
  <si>
    <t>HOURS USED</t>
  </si>
  <si>
    <t>TOTAL ASSIGNED HOURS</t>
  </si>
  <si>
    <t>HOURS REMAINING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</si>
  <si>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</si>
  <si>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</si>
  <si>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</si>
  <si>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</si>
  <si>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</si>
  <si>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</si>
  <si>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</si>
  <si>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</si>
  <si>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</si>
  <si>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User Stories and Tasks</t>
  </si>
  <si>
    <t>SPRINT GOAL</t>
  </si>
  <si>
    <t>Design Registration Form UI</t>
  </si>
  <si>
    <t xml:space="preserve"> User Registration (US-001) </t>
  </si>
  <si>
    <t xml:space="preserve"> Implement Email Validation</t>
  </si>
  <si>
    <t xml:space="preserve"> Create User Database Schema</t>
  </si>
  <si>
    <t>Jadel Alsaeri</t>
  </si>
  <si>
    <t>Setup Registration API</t>
  </si>
  <si>
    <t xml:space="preserve"> User Login (US-002) </t>
  </si>
  <si>
    <t xml:space="preserve"> Design Login Page UI</t>
  </si>
  <si>
    <t>Ghada Altemyat</t>
  </si>
  <si>
    <t xml:space="preserve"> Implement Authentication Logic</t>
  </si>
  <si>
    <t xml:space="preserve"> Setup Session Management</t>
  </si>
  <si>
    <t>Albandri Alsaadoon</t>
  </si>
  <si>
    <t>Add Remember Me Feature</t>
  </si>
  <si>
    <t>Password Recovery (US-003)</t>
  </si>
  <si>
    <t>Design Password Reset Page</t>
  </si>
  <si>
    <t>Implement Email Sending Service</t>
  </si>
  <si>
    <t>Create Reset Token System</t>
  </si>
  <si>
    <t>Test Password Reset Flow</t>
  </si>
  <si>
    <t xml:space="preserve"> Create Job Seeker Profile (US-004) </t>
  </si>
  <si>
    <t>Design Profile Creation Form</t>
  </si>
  <si>
    <t>Implement Personal Info Section</t>
  </si>
  <si>
    <t xml:space="preserve"> Add Work Experience Section</t>
  </si>
  <si>
    <t>Add Education Section</t>
  </si>
  <si>
    <t>Add Skills Section</t>
  </si>
  <si>
    <t>Profile Completion Indicator</t>
  </si>
  <si>
    <t>Basic Job Search (US-007)</t>
  </si>
  <si>
    <t xml:space="preserve"> Design Search Bar UI</t>
  </si>
  <si>
    <t>Implement Search Algorithm</t>
  </si>
  <si>
    <t>Post Job Listing (US-012)</t>
  </si>
  <si>
    <t>Add Job Preview Feature</t>
  </si>
  <si>
    <t>Display Search Results</t>
  </si>
  <si>
    <t xml:space="preserve"> Add Pagination</t>
  </si>
  <si>
    <t xml:space="preserve"> Design Job Posting Form</t>
  </si>
  <si>
    <t>Implement Rich Text Editor</t>
  </si>
  <si>
    <t xml:space="preserve"> Create Job Posting API</t>
  </si>
  <si>
    <t xml:space="preserve"> Implement Draft Save</t>
  </si>
  <si>
    <t xml:space="preserve">The team aims to develop the core user features of the Hire Hub platform, focusing on registration, login, and job posting.  </t>
  </si>
  <si>
    <t>Joud AL-SHAHRANI</t>
  </si>
  <si>
    <t xml:space="preserve">Joud AlShahrani </t>
  </si>
  <si>
    <t xml:space="preserve">Task 1.7 Test Notification System
</t>
  </si>
  <si>
    <t xml:space="preserve">Task 1.6 Add Mark as Read/Delete Features </t>
  </si>
  <si>
    <t>Albandri Alsadon</t>
  </si>
  <si>
    <t xml:space="preserve">Task 1.5 Build Notification Badge Component </t>
  </si>
  <si>
    <t>Ghada Alemayat</t>
  </si>
  <si>
    <t xml:space="preserve">Task 1.4 Integrate Email Notification Service </t>
  </si>
  <si>
    <t xml:space="preserve">Task 1.3 Implement In-App Notification System </t>
  </si>
  <si>
    <t xml:space="preserve">Task 1.2 Create Notification Database Schema </t>
  </si>
  <si>
    <t xml:space="preserve">Albandri Alsadon
</t>
  </si>
  <si>
    <t xml:space="preserve">Task 1.1 Design Notification Center UI </t>
  </si>
  <si>
    <t>US-017 – Employer Notification System</t>
  </si>
  <si>
    <t xml:space="preserve">Task 1.6 Test Application Tracking System </t>
  </si>
  <si>
    <t xml:space="preserve">Task 1.5 Add Filter by Status Feature </t>
  </si>
  <si>
    <t xml:space="preserve">Task 1.4 Build Timeline View Component </t>
  </si>
  <si>
    <t xml:space="preserve">Ghada Alemayat </t>
  </si>
  <si>
    <t xml:space="preserve">Task 1.3 Implement Status Update Logic </t>
  </si>
  <si>
    <t>Task 1.2 Create Application Status Database</t>
  </si>
  <si>
    <t xml:space="preserve">Albandri Alsadon </t>
  </si>
  <si>
    <t xml:space="preserve">Task 1.1 Design Application Tracking Dashboard </t>
  </si>
  <si>
    <t>US-016 – Job Application Tracking</t>
  </si>
  <si>
    <t>Task 1.4 Test Filtering Functionality</t>
  </si>
  <si>
    <t xml:space="preserve">Task 1.3 Create Filter API Endpoints </t>
  </si>
  <si>
    <t xml:space="preserve">Task 1.2 Implement Filter Logic </t>
  </si>
  <si>
    <t xml:space="preserve">Task 1.1 Design Filter UI Components </t>
  </si>
  <si>
    <t>US-008 – Application Filtering</t>
  </si>
  <si>
    <t>Joud AlShahrani</t>
  </si>
  <si>
    <t xml:space="preserve">Task 1.4 Test Profile Update Flow </t>
  </si>
  <si>
    <t>Task 1.3: Add Form Validation</t>
  </si>
  <si>
    <t>Task 1.2 Implement Profile Update API</t>
  </si>
  <si>
    <t xml:space="preserve">Task 1.1 Design Edit Profile UI </t>
  </si>
  <si>
    <t>US-006 – Profile Update</t>
  </si>
  <si>
    <t xml:space="preserve">Task 1.5 Test File Upload and Validation </t>
  </si>
  <si>
    <t>Task 1.4 Add Resume Preview Feature</t>
  </si>
  <si>
    <t xml:space="preserve">Task 1.3 Create File Storage System </t>
  </si>
  <si>
    <t>Task 1.2 Implement File Upload Functionality</t>
  </si>
  <si>
    <t>Task 1.1 Design Resume Upload Interface</t>
  </si>
  <si>
    <t>US-005 – Resume Upload</t>
  </si>
  <si>
    <t>Task 1.5 Test Save Job Feature</t>
  </si>
  <si>
    <t>Albandri alsadon</t>
  </si>
  <si>
    <t>Task 1.4 Build Saved Jobs Dashboard Section</t>
  </si>
  <si>
    <t>Task 2.3 Implement Save/Unsave Functionality</t>
  </si>
  <si>
    <t xml:space="preserve">Jadel Alsaeri </t>
  </si>
  <si>
    <t xml:space="preserve">Task 2.2 Create Saved Jobs Database Schema </t>
  </si>
  <si>
    <t xml:space="preserve">Task 2.1 Design Save Job Icon/Button </t>
  </si>
  <si>
    <t>US-015 – Save Job Feature</t>
  </si>
  <si>
    <t xml:space="preserve">Task 1.5: Test All Recovery Methods </t>
  </si>
  <si>
    <t xml:space="preserve">Task 1.4Integrate SMS Service for OTP </t>
  </si>
  <si>
    <t>Task1.3 Create Security Questions System</t>
  </si>
  <si>
    <t>Task 1.2 Implement Phone Number Verification</t>
  </si>
  <si>
    <t>Task 1.1 Task Name: Design Password Recovery Options UI</t>
  </si>
  <si>
    <t>User Story US-003: Enhanced Password Recovery</t>
  </si>
  <si>
    <t>16/11/2025</t>
  </si>
  <si>
    <t>SPRINT BACKLOG 2</t>
  </si>
  <si>
    <t>SPRINT BACKLOG 1</t>
  </si>
  <si>
    <t>20/11/2025  12:01:09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</si>
</sst>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d/m/yy;@"/>
    <numFmt numFmtId="166" formatCode="0;\-0"/>
  </numFmts>
  <fonts count="3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Arial"/>
      <family val="2"/>
      <scheme val="minor"/>
    </font>
    <font>
      <b/>
      <sz val="22"/>
      <color theme="0" tint="-0.499984740745262"/>
      <name val="Century Gothic"/>
      <family val="1"/>
    </font>
    <font>
      <sz val="22"/>
      <color theme="1"/>
      <name val="Arial"/>
      <family val="2"/>
      <scheme val="minor"/>
    </font>
    <font>
      <sz val="22"/>
      <color theme="1"/>
      <name val="Century Gothic"/>
      <family val="1"/>
    </font>
    <font>
      <b/>
      <sz val="12"/>
      <color theme="0"/>
      <name val="Century Gothic"/>
      <family val="1"/>
    </font>
    <font>
      <sz val="14"/>
      <color theme="0"/>
      <name val="Century Gothic"/>
      <family val="2"/>
    </font>
    <font>
      <b/>
      <sz val="18"/>
      <color theme="9" tint="-0.249977111117893"/>
      <name val="Century Gothic"/>
      <family val="2"/>
    </font>
    <font>
      <b/>
      <sz val="22"/>
      <color theme="1" tint="0.34998626667073579"/>
      <name val="Century Gothic"/>
      <family val="1"/>
    </font>
    <font>
      <sz val="22"/>
      <color theme="1" tint="0.34998626667073579"/>
      <name val="Arial"/>
      <family val="2"/>
      <scheme val="minor"/>
    </font>
    <font>
      <sz val="12"/>
      <color theme="0" tint="-0.499984740745262"/>
      <name val="Century Gothic"/>
      <family val="2"/>
    </font>
    <font>
      <b/>
      <sz val="10"/>
      <color theme="1"/>
      <name val="Century Gothic"/>
      <family val="2"/>
    </font>
    <font>
      <b/>
      <sz val="14"/>
      <color theme="1" tint="0.34998626667073579"/>
      <name val="Century Gothic"/>
      <family val="2"/>
    </font>
    <font>
      <b/>
      <sz val="14"/>
      <color theme="9" tint="-0.249977111117893"/>
      <name val="Century Gothic"/>
      <family val="2"/>
    </font>
    <font>
      <sz val="13"/>
      <color rgb="FF1F2326"/>
      <name val="PingFang"/>
      <family val="2"/>
    </font>
    <font>
      <sz val="10"/>
      <color theme="1"/>
      <name val="PingFang"/>
      <family val="2"/>
    </font>
    <font>
      <b/>
      <sz val="10"/>
      <color theme="1"/>
      <name val="PingFang"/>
      <family val="2"/>
    </font>
    <font>
      <b/>
      <sz val="10"/>
      <color rgb="FFFFFFFF"/>
      <name val="PingFang"/>
      <family val="2"/>
    </font>
    <font>
      <b/>
      <sz val="12"/>
      <color rgb="FFFFFFFF"/>
      <name val="PingFang"/>
      <family val="2"/>
    </font>
    <font>
      <sz val="14"/>
      <color rgb="FFFFFFFF"/>
      <name val="PingFang"/>
      <family val="2"/>
    </font>
    <font>
      <sz val="13"/>
      <color rgb="FF1F2326"/>
      <name val="PingFang"/>
      <charset val="178"/>
    </font>
    <font>
      <sz val="22"/>
      <color theme="1"/>
      <name val="PingFang"/>
      <family val="2"/>
    </font>
    <font>
      <b/>
      <sz val="22"/>
      <color rgb="FF7F7F7F"/>
      <name val="PingFang"/>
      <family val="2"/>
    </font>
    <font>
      <sz val="12"/>
      <color rgb="FF7F7F7F"/>
      <name val="PingFang"/>
      <family val="2"/>
    </font>
    <font>
      <b/>
      <sz val="14"/>
      <color rgb="FF595959"/>
      <name val="PingFang"/>
      <family val="2"/>
    </font>
    <font>
      <b/>
      <sz val="18"/>
      <color rgb="FF548135"/>
      <name val="PingFang"/>
      <family val="2"/>
    </font>
    <font>
      <b/>
      <sz val="14"/>
      <color rgb="FF548135"/>
      <name val="PingFang"/>
      <family val="2"/>
    </font>
    <font>
      <b/>
      <sz val="22"/>
      <color rgb="FF595959"/>
      <name val="PingFang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DACA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EDA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3" fillId="5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164" fontId="13" fillId="4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165" fontId="13" fillId="4" borderId="2" xfId="0" applyNumberFormat="1" applyFont="1" applyFill="1" applyBorder="1" applyAlignment="1">
      <alignment horizontal="center" vertical="center"/>
    </xf>
    <xf numFmtId="0" fontId="1" fillId="0" borderId="0" xfId="2"/>
    <xf numFmtId="0" fontId="17" fillId="0" borderId="0" xfId="2" applyFont="1" applyAlignment="1">
      <alignment horizontal="left" vertical="center" wrapText="1"/>
    </xf>
    <xf numFmtId="0" fontId="18" fillId="0" borderId="0" xfId="2" applyFont="1" applyAlignment="1">
      <alignment horizontal="left" wrapText="1"/>
    </xf>
    <xf numFmtId="0" fontId="19" fillId="9" borderId="0" xfId="2" applyFont="1" applyFill="1" applyAlignment="1">
      <alignment horizontal="left" wrapText="1"/>
    </xf>
    <xf numFmtId="0" fontId="20" fillId="10" borderId="5" xfId="2" applyFont="1" applyFill="1" applyBorder="1" applyAlignment="1">
      <alignment horizontal="left" vertical="center" wrapText="1"/>
    </xf>
    <xf numFmtId="0" fontId="21" fillId="11" borderId="5" xfId="2" applyFont="1" applyFill="1" applyBorder="1" applyAlignment="1">
      <alignment horizontal="center" vertical="center" wrapText="1"/>
    </xf>
    <xf numFmtId="0" fontId="18" fillId="0" borderId="5" xfId="2" applyFont="1" applyBorder="1" applyAlignment="1">
      <alignment horizontal="left" vertical="center" wrapText="1"/>
    </xf>
    <xf numFmtId="0" fontId="18" fillId="12" borderId="5" xfId="2" applyFont="1" applyFill="1" applyBorder="1" applyAlignment="1">
      <alignment horizontal="left" vertical="center" wrapText="1"/>
    </xf>
    <xf numFmtId="0" fontId="23" fillId="0" borderId="0" xfId="2" applyFont="1" applyAlignment="1">
      <alignment horizontal="left" vertical="center" wrapText="1"/>
    </xf>
    <xf numFmtId="0" fontId="20" fillId="13" borderId="5" xfId="2" applyFont="1" applyFill="1" applyBorder="1" applyAlignment="1">
      <alignment horizontal="center" vertical="center" wrapText="1"/>
    </xf>
    <xf numFmtId="0" fontId="20" fillId="10" borderId="5" xfId="2" applyFont="1" applyFill="1" applyBorder="1" applyAlignment="1">
      <alignment horizontal="center" vertical="center" wrapText="1"/>
    </xf>
    <xf numFmtId="0" fontId="20" fillId="14" borderId="5" xfId="2" applyFont="1" applyFill="1" applyBorder="1" applyAlignment="1">
      <alignment horizontal="left" vertical="center" wrapText="1"/>
    </xf>
    <xf numFmtId="0" fontId="24" fillId="0" borderId="0" xfId="2" applyFont="1" applyAlignment="1">
      <alignment horizontal="left" wrapText="1"/>
    </xf>
    <xf numFmtId="0" fontId="24" fillId="0" borderId="0" xfId="2" applyFont="1" applyAlignment="1">
      <alignment horizontal="center" wrapText="1"/>
    </xf>
    <xf numFmtId="0" fontId="25" fillId="0" borderId="0" xfId="2" applyFont="1" applyAlignment="1">
      <alignment horizontal="left" vertical="center" wrapText="1"/>
    </xf>
    <xf numFmtId="164" fontId="26" fillId="12" borderId="0" xfId="2" applyNumberFormat="1" applyFont="1" applyFill="1" applyAlignment="1">
      <alignment horizontal="center" vertical="center" wrapText="1"/>
    </xf>
    <xf numFmtId="0" fontId="27" fillId="0" borderId="0" xfId="2" applyFont="1" applyAlignment="1">
      <alignment horizontal="center" vertical="center" wrapText="1"/>
    </xf>
    <xf numFmtId="164" fontId="26" fillId="12" borderId="5" xfId="2" applyNumberFormat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 wrapText="1"/>
    </xf>
    <xf numFmtId="0" fontId="9" fillId="8" borderId="3" xfId="0" applyFont="1" applyFill="1" applyBorder="1" applyAlignment="1">
      <alignment horizontal="right" vertical="center" wrapText="1" indent="1"/>
    </xf>
    <xf numFmtId="0" fontId="9" fillId="8" borderId="4" xfId="0" applyFont="1" applyFill="1" applyBorder="1" applyAlignment="1">
      <alignment horizontal="right" vertical="center" wrapText="1" inden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2" fillId="0" borderId="0" xfId="0" applyFont="1"/>
    <xf numFmtId="0" fontId="16" fillId="0" borderId="0" xfId="0" applyFont="1" applyAlignment="1">
      <alignment horizontal="center"/>
    </xf>
    <xf numFmtId="1" fontId="10" fillId="6" borderId="2" xfId="0" applyNumberFormat="1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22" fillId="11" borderId="5" xfId="2" applyFont="1" applyFill="1" applyBorder="1" applyAlignment="1">
      <alignment horizontal="right" vertical="center" wrapText="1"/>
    </xf>
    <xf numFmtId="0" fontId="19" fillId="0" borderId="5" xfId="2" applyFont="1" applyBorder="1" applyAlignment="1">
      <alignment horizontal="center" vertical="center" wrapText="1"/>
    </xf>
    <xf numFmtId="0" fontId="30" fillId="0" borderId="0" xfId="2" applyFont="1" applyAlignment="1">
      <alignment horizontal="left" vertical="center" wrapText="1"/>
    </xf>
    <xf numFmtId="0" fontId="29" fillId="0" borderId="0" xfId="2" applyFont="1" applyAlignment="1">
      <alignment horizontal="center" wrapText="1"/>
    </xf>
    <xf numFmtId="166" fontId="28" fillId="15" borderId="5" xfId="2" applyNumberFormat="1" applyFont="1" applyFill="1" applyBorder="1" applyAlignment="1">
      <alignment horizontal="center" vertical="center" wrapText="1"/>
    </xf>
  </cellXfs>
  <cellStyles count="3">
    <cellStyle name="Normal 2" xfId="1" xr:uid="{924B28E4-7E22-A240-8564-A59A9A5220BC}"/>
    <cellStyle name="عادي" xfId="0" builtinId="0"/>
    <cellStyle name="عادي 2" xfId="2" xr:uid="{93C0A8B4-4FD2-4AE8-99B3-7ECD12769633}"/>
  </cellStyles>
  <dxfs count="0"/>
  <tableStyles count="0" defaultTableStyle="TableStyleMedium9" defaultPivotStyle="PivotStyleMedium4"/>
  <colors>
    <mruColors>
      <color rgb="FF00BD32"/>
      <color rgb="FFE5E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10D4-F843-244C-9474-0C5D6C1C05CB}">
  <sheetPr>
    <tabColor theme="3" tint="0.79998168889431442"/>
    <pageSetUpPr fitToPage="1"/>
  </sheetPr>
  <dimension ref="B1:U135"/>
  <sheetViews>
    <sheetView showGridLines="0" zoomScale="39" zoomScaleNormal="39" workbookViewId="0">
      <selection activeCell="E46" sqref="E46"/>
    </sheetView>
  </sheetViews>
  <sheetFormatPr defaultColWidth="10.71875" defaultRowHeight="13.15"/>
  <cols>
    <col min="1" max="1" width="3.1640625" style="1" customWidth="1"/>
    <col min="2" max="2" width="34.71875" style="1" customWidth="1"/>
    <col min="3" max="3" width="34.609375" style="1" customWidth="1"/>
    <col min="4" max="6" width="18.71875" style="1" customWidth="1"/>
    <col min="7" max="20" width="10.71875" style="1" customWidth="1"/>
    <col min="21" max="21" width="3.1640625" style="1" customWidth="1"/>
    <col min="22" max="16384" width="10.71875" style="1"/>
  </cols>
  <sheetData>
    <row r="1" spans="2:21" s="5" customFormat="1" ht="45" customHeight="1">
      <c r="B1" s="44" t="s">
        <v>117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1" ht="26.25" customHeight="1">
      <c r="B2" s="15" t="s">
        <v>7</v>
      </c>
      <c r="C2" s="16" t="s">
        <v>8</v>
      </c>
      <c r="D2" s="46" t="s">
        <v>12</v>
      </c>
      <c r="E2" s="46"/>
      <c r="F2" s="46" t="s">
        <v>11</v>
      </c>
      <c r="G2" s="46"/>
      <c r="H2" s="46" t="s">
        <v>13</v>
      </c>
      <c r="I2" s="46"/>
      <c r="J2" s="46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1" ht="50" customHeight="1">
      <c r="B3" s="20">
        <v>45949</v>
      </c>
      <c r="C3" s="20">
        <v>45943</v>
      </c>
      <c r="D3" s="47">
        <f>D41</f>
        <v>62</v>
      </c>
      <c r="E3" s="47"/>
      <c r="F3" s="47">
        <f>E41</f>
        <v>51</v>
      </c>
      <c r="G3" s="47"/>
      <c r="H3" s="47">
        <f>F41</f>
        <v>11</v>
      </c>
      <c r="I3" s="47"/>
      <c r="J3" s="47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1" ht="93.6" customHeight="1">
      <c r="B4" s="17" t="s">
        <v>24</v>
      </c>
      <c r="C4" s="14" t="s">
        <v>61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1" ht="12" customHeight="1">
      <c r="B5" s="6"/>
      <c r="C5" s="14"/>
      <c r="D5" s="12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1" ht="35" customHeight="1">
      <c r="B6" s="7" t="s">
        <v>23</v>
      </c>
      <c r="C6" s="7" t="s">
        <v>0</v>
      </c>
      <c r="D6" s="13" t="s">
        <v>9</v>
      </c>
      <c r="E6" s="13" t="s">
        <v>11</v>
      </c>
      <c r="F6" s="13" t="s">
        <v>10</v>
      </c>
      <c r="G6" s="11" t="s">
        <v>1</v>
      </c>
      <c r="H6" s="11" t="s">
        <v>2</v>
      </c>
      <c r="I6" s="11" t="s">
        <v>3</v>
      </c>
      <c r="J6" s="11" t="s">
        <v>4</v>
      </c>
      <c r="K6" s="11" t="s">
        <v>5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</row>
    <row r="7" spans="2:21" ht="25.25" customHeight="1">
      <c r="B7" s="42" t="s">
        <v>26</v>
      </c>
      <c r="C7" s="43"/>
      <c r="D7" s="8">
        <v>0</v>
      </c>
      <c r="E7" s="8">
        <f>SUM(G7:T7)</f>
        <v>0</v>
      </c>
      <c r="F7" s="8">
        <f>D7-E7</f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2:21" ht="25.25" customHeight="1">
      <c r="B8" s="3" t="s">
        <v>25</v>
      </c>
      <c r="C8" s="3" t="s">
        <v>62</v>
      </c>
      <c r="D8" s="8">
        <v>8</v>
      </c>
      <c r="E8" s="8">
        <f t="shared" ref="E8:E40" si="0">SUM(G8:T8)</f>
        <v>8</v>
      </c>
      <c r="F8" s="8">
        <f>D8-E8</f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  <c r="O8" s="3"/>
      <c r="P8" s="3"/>
      <c r="Q8" s="3"/>
      <c r="R8" s="3"/>
      <c r="S8" s="3"/>
      <c r="T8" s="3"/>
      <c r="U8" s="3"/>
    </row>
    <row r="9" spans="2:21" ht="25.25" customHeight="1">
      <c r="B9" s="3" t="s">
        <v>27</v>
      </c>
      <c r="C9" s="3" t="s">
        <v>62</v>
      </c>
      <c r="D9" s="8">
        <v>6</v>
      </c>
      <c r="E9" s="8">
        <f t="shared" si="0"/>
        <v>5</v>
      </c>
      <c r="F9" s="8">
        <f t="shared" ref="F9:F40" si="1">D9-E9</f>
        <v>1</v>
      </c>
      <c r="G9" s="3">
        <v>1</v>
      </c>
      <c r="H9" s="3">
        <v>2</v>
      </c>
      <c r="I9" s="3">
        <v>2</v>
      </c>
      <c r="J9" s="3">
        <v>0</v>
      </c>
      <c r="K9" s="3">
        <v>0</v>
      </c>
      <c r="L9" s="3">
        <v>0</v>
      </c>
      <c r="M9" s="3">
        <v>0</v>
      </c>
      <c r="N9" s="3"/>
      <c r="O9" s="3"/>
      <c r="P9" s="3"/>
      <c r="Q9" s="3"/>
      <c r="R9" s="3"/>
      <c r="S9" s="3"/>
      <c r="T9" s="3"/>
    </row>
    <row r="10" spans="2:21" ht="25.25" customHeight="1">
      <c r="B10" s="3" t="s">
        <v>28</v>
      </c>
      <c r="C10" s="3" t="s">
        <v>29</v>
      </c>
      <c r="D10" s="8">
        <v>8</v>
      </c>
      <c r="E10" s="8">
        <f t="shared" si="0"/>
        <v>8</v>
      </c>
      <c r="F10" s="8">
        <f t="shared" si="1"/>
        <v>0</v>
      </c>
      <c r="G10" s="3">
        <v>0</v>
      </c>
      <c r="H10" s="3">
        <v>1</v>
      </c>
      <c r="I10" s="3">
        <v>3</v>
      </c>
      <c r="J10" s="3">
        <v>4</v>
      </c>
      <c r="K10" s="3">
        <v>0</v>
      </c>
      <c r="L10" s="3">
        <v>0</v>
      </c>
      <c r="M10" s="3">
        <v>0</v>
      </c>
      <c r="N10" s="3"/>
      <c r="O10" s="3"/>
      <c r="P10" s="3"/>
      <c r="Q10" s="3"/>
      <c r="R10" s="3"/>
      <c r="S10" s="3"/>
      <c r="T10" s="3"/>
    </row>
    <row r="11" spans="2:21" ht="25.25" customHeight="1">
      <c r="B11" s="3" t="s">
        <v>30</v>
      </c>
      <c r="C11" s="3" t="s">
        <v>29</v>
      </c>
      <c r="D11" s="8">
        <v>10</v>
      </c>
      <c r="E11" s="8">
        <f t="shared" si="0"/>
        <v>5</v>
      </c>
      <c r="F11" s="8">
        <f t="shared" si="1"/>
        <v>5</v>
      </c>
      <c r="G11" s="3">
        <v>2</v>
      </c>
      <c r="H11" s="3">
        <v>0</v>
      </c>
      <c r="I11" s="3">
        <v>1</v>
      </c>
      <c r="J11" s="3">
        <v>2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</row>
    <row r="12" spans="2:21" ht="25.25" customHeight="1">
      <c r="B12" s="42" t="s">
        <v>31</v>
      </c>
      <c r="C12" s="43"/>
      <c r="D12" s="8">
        <v>0</v>
      </c>
      <c r="E12" s="8">
        <f>SUM(G12:T12)</f>
        <v>0</v>
      </c>
      <c r="F12" s="8">
        <f t="shared" si="1"/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1" ht="25.25" customHeight="1">
      <c r="B13" s="3" t="s">
        <v>32</v>
      </c>
      <c r="C13" s="3" t="s">
        <v>33</v>
      </c>
      <c r="D13" s="8">
        <v>6</v>
      </c>
      <c r="E13" s="8">
        <f t="shared" si="0"/>
        <v>5</v>
      </c>
      <c r="F13" s="8">
        <f t="shared" si="1"/>
        <v>1</v>
      </c>
      <c r="G13" s="3">
        <v>0</v>
      </c>
      <c r="H13" s="3">
        <v>2</v>
      </c>
      <c r="I13" s="3">
        <v>1</v>
      </c>
      <c r="J13" s="3">
        <v>2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</row>
    <row r="14" spans="2:21" ht="25.25" customHeight="1">
      <c r="B14" s="3" t="s">
        <v>34</v>
      </c>
      <c r="C14" s="3" t="s">
        <v>33</v>
      </c>
      <c r="D14" s="8">
        <v>12</v>
      </c>
      <c r="E14" s="8">
        <f t="shared" si="0"/>
        <v>9</v>
      </c>
      <c r="F14" s="8">
        <f t="shared" si="1"/>
        <v>3</v>
      </c>
      <c r="G14" s="3">
        <v>0</v>
      </c>
      <c r="H14" s="3">
        <v>0</v>
      </c>
      <c r="I14" s="3">
        <v>0</v>
      </c>
      <c r="J14" s="3">
        <v>3</v>
      </c>
      <c r="K14" s="3">
        <v>3</v>
      </c>
      <c r="L14" s="3">
        <v>3</v>
      </c>
      <c r="M14" s="3">
        <v>0</v>
      </c>
      <c r="N14" s="3"/>
      <c r="O14" s="3"/>
      <c r="P14" s="3"/>
      <c r="Q14" s="3"/>
      <c r="R14" s="3"/>
      <c r="S14" s="3"/>
      <c r="T14" s="3"/>
    </row>
    <row r="15" spans="2:21" ht="25.25" customHeight="1">
      <c r="B15" s="3" t="s">
        <v>35</v>
      </c>
      <c r="C15" s="3" t="s">
        <v>36</v>
      </c>
      <c r="D15" s="8">
        <v>8</v>
      </c>
      <c r="E15" s="8">
        <f t="shared" si="0"/>
        <v>7</v>
      </c>
      <c r="F15" s="8">
        <f t="shared" si="1"/>
        <v>1</v>
      </c>
      <c r="G15" s="3">
        <v>2</v>
      </c>
      <c r="H15" s="3">
        <v>3</v>
      </c>
      <c r="I15" s="3">
        <v>2</v>
      </c>
      <c r="J15" s="3">
        <v>0</v>
      </c>
      <c r="K15" s="3">
        <v>0</v>
      </c>
      <c r="L15" s="3">
        <v>0</v>
      </c>
      <c r="M15" s="3">
        <v>0</v>
      </c>
      <c r="N15" s="3"/>
      <c r="O15" s="3"/>
      <c r="P15" s="3"/>
      <c r="Q15" s="3"/>
      <c r="R15" s="3"/>
      <c r="S15" s="3"/>
      <c r="T15" s="3"/>
    </row>
    <row r="16" spans="2:21" ht="25.25" customHeight="1">
      <c r="B16" s="3" t="s">
        <v>37</v>
      </c>
      <c r="C16" s="3" t="s">
        <v>36</v>
      </c>
      <c r="D16" s="8">
        <v>4</v>
      </c>
      <c r="E16" s="8">
        <f t="shared" si="0"/>
        <v>4</v>
      </c>
      <c r="F16" s="8">
        <f t="shared" si="1"/>
        <v>0</v>
      </c>
      <c r="G16" s="3">
        <v>0</v>
      </c>
      <c r="H16" s="3">
        <v>2</v>
      </c>
      <c r="I16" s="3">
        <v>2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</row>
    <row r="17" spans="2:20" ht="25.25" customHeight="1">
      <c r="B17" s="42" t="s">
        <v>38</v>
      </c>
      <c r="C17" s="43"/>
      <c r="D17" s="8">
        <v>0</v>
      </c>
      <c r="E17" s="8">
        <f t="shared" si="0"/>
        <v>0</v>
      </c>
      <c r="F17" s="8">
        <f t="shared" si="1"/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25.25" customHeight="1">
      <c r="B18" s="3" t="s">
        <v>39</v>
      </c>
      <c r="C18" s="3" t="s">
        <v>33</v>
      </c>
      <c r="D18" s="8">
        <v>5</v>
      </c>
      <c r="E18" s="8">
        <f t="shared" si="0"/>
        <v>4</v>
      </c>
      <c r="F18" s="8">
        <f t="shared" si="1"/>
        <v>1</v>
      </c>
      <c r="G18" s="3">
        <v>2</v>
      </c>
      <c r="H18" s="3">
        <v>0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</row>
    <row r="19" spans="2:20" ht="25.25" customHeight="1">
      <c r="B19" s="3" t="s">
        <v>40</v>
      </c>
      <c r="C19" s="3" t="s">
        <v>29</v>
      </c>
      <c r="D19" s="8">
        <v>10</v>
      </c>
      <c r="E19" s="8">
        <f t="shared" si="0"/>
        <v>10</v>
      </c>
      <c r="F19" s="8">
        <f t="shared" si="1"/>
        <v>0</v>
      </c>
      <c r="G19" s="3">
        <v>0</v>
      </c>
      <c r="H19" s="3">
        <v>0</v>
      </c>
      <c r="I19" s="3">
        <v>0</v>
      </c>
      <c r="J19" s="3">
        <v>3</v>
      </c>
      <c r="K19" s="3">
        <v>4</v>
      </c>
      <c r="L19" s="3">
        <v>3</v>
      </c>
      <c r="M19" s="3">
        <v>0</v>
      </c>
      <c r="N19" s="3"/>
      <c r="O19" s="3"/>
      <c r="P19" s="3"/>
      <c r="Q19" s="3"/>
      <c r="R19" s="3"/>
      <c r="S19" s="3"/>
      <c r="T19" s="3"/>
    </row>
    <row r="20" spans="2:20" ht="25.25" customHeight="1">
      <c r="B20" s="3" t="s">
        <v>41</v>
      </c>
      <c r="C20" s="3" t="s">
        <v>36</v>
      </c>
      <c r="D20" s="8">
        <v>8</v>
      </c>
      <c r="E20" s="8">
        <f t="shared" si="0"/>
        <v>6</v>
      </c>
      <c r="F20" s="8">
        <f t="shared" si="1"/>
        <v>2</v>
      </c>
      <c r="G20" s="3">
        <v>0</v>
      </c>
      <c r="H20" s="3">
        <v>0</v>
      </c>
      <c r="I20" s="3">
        <v>0</v>
      </c>
      <c r="J20" s="3">
        <v>1</v>
      </c>
      <c r="K20" s="3">
        <v>3</v>
      </c>
      <c r="L20" s="3">
        <v>2</v>
      </c>
      <c r="M20" s="3">
        <v>0</v>
      </c>
      <c r="N20" s="3"/>
      <c r="O20" s="3"/>
      <c r="P20" s="3"/>
      <c r="Q20" s="3"/>
      <c r="R20" s="3"/>
      <c r="S20" s="3"/>
      <c r="T20" s="3"/>
    </row>
    <row r="21" spans="2:20" ht="25.25" customHeight="1">
      <c r="B21" s="3" t="s">
        <v>42</v>
      </c>
      <c r="C21" s="3" t="s">
        <v>62</v>
      </c>
      <c r="D21" s="8">
        <v>4</v>
      </c>
      <c r="E21" s="8">
        <f>SUM(G21:T21)</f>
        <v>4</v>
      </c>
      <c r="F21" s="8">
        <f t="shared" si="1"/>
        <v>0</v>
      </c>
      <c r="G21" s="3">
        <v>2</v>
      </c>
      <c r="H21" s="3">
        <v>0</v>
      </c>
      <c r="I21" s="3">
        <v>2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</row>
    <row r="22" spans="2:20" ht="25.25" customHeight="1">
      <c r="B22" s="42" t="s">
        <v>43</v>
      </c>
      <c r="C22" s="43"/>
      <c r="D22" s="8">
        <v>0</v>
      </c>
      <c r="E22" s="8">
        <f t="shared" si="0"/>
        <v>0</v>
      </c>
      <c r="F22" s="8">
        <f t="shared" si="1"/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ht="25.25" customHeight="1">
      <c r="B23" s="3" t="s">
        <v>44</v>
      </c>
      <c r="C23" s="3" t="s">
        <v>36</v>
      </c>
      <c r="D23" s="8">
        <v>10</v>
      </c>
      <c r="E23" s="8">
        <f t="shared" si="0"/>
        <v>7</v>
      </c>
      <c r="F23" s="8">
        <f t="shared" si="1"/>
        <v>3</v>
      </c>
      <c r="G23" s="3">
        <v>0</v>
      </c>
      <c r="H23" s="3">
        <v>3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</row>
    <row r="24" spans="2:20" ht="25.25" customHeight="1">
      <c r="B24" s="3" t="s">
        <v>45</v>
      </c>
      <c r="C24" s="3" t="s">
        <v>29</v>
      </c>
      <c r="D24" s="8">
        <v>8</v>
      </c>
      <c r="E24" s="8">
        <f t="shared" si="0"/>
        <v>8</v>
      </c>
      <c r="F24" s="8">
        <f t="shared" si="1"/>
        <v>0</v>
      </c>
      <c r="G24" s="3">
        <v>0</v>
      </c>
      <c r="H24" s="3">
        <v>0</v>
      </c>
      <c r="I24" s="3">
        <v>0</v>
      </c>
      <c r="J24" s="3">
        <v>5</v>
      </c>
      <c r="K24" s="3">
        <v>3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</row>
    <row r="25" spans="2:20" ht="25.25" customHeight="1">
      <c r="B25" s="3" t="s">
        <v>46</v>
      </c>
      <c r="C25" s="3" t="s">
        <v>33</v>
      </c>
      <c r="D25" s="8">
        <v>10</v>
      </c>
      <c r="E25" s="8">
        <f t="shared" si="0"/>
        <v>8</v>
      </c>
      <c r="F25" s="8">
        <f t="shared" si="1"/>
        <v>2</v>
      </c>
      <c r="G25" s="3">
        <v>0</v>
      </c>
      <c r="H25" s="3">
        <v>3</v>
      </c>
      <c r="I25" s="3">
        <v>2</v>
      </c>
      <c r="J25" s="3">
        <v>0</v>
      </c>
      <c r="K25" s="3">
        <v>3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</row>
    <row r="26" spans="2:20" ht="25.25" customHeight="1">
      <c r="B26" s="3" t="s">
        <v>47</v>
      </c>
      <c r="C26" s="3" t="s">
        <v>62</v>
      </c>
      <c r="D26" s="8">
        <v>8</v>
      </c>
      <c r="E26" s="8">
        <f t="shared" si="0"/>
        <v>6</v>
      </c>
      <c r="F26" s="8">
        <f t="shared" si="1"/>
        <v>2</v>
      </c>
      <c r="G26" s="3">
        <v>0</v>
      </c>
      <c r="H26" s="3">
        <v>0</v>
      </c>
      <c r="I26" s="3">
        <v>0</v>
      </c>
      <c r="J26" s="3">
        <v>3</v>
      </c>
      <c r="K26" s="3">
        <v>0</v>
      </c>
      <c r="L26" s="3">
        <v>3</v>
      </c>
      <c r="M26" s="3">
        <v>0</v>
      </c>
      <c r="N26" s="3"/>
      <c r="O26" s="3"/>
      <c r="P26" s="3"/>
      <c r="Q26" s="3"/>
      <c r="R26" s="3"/>
      <c r="S26" s="3"/>
      <c r="T26" s="3"/>
    </row>
    <row r="27" spans="2:20" ht="25.25" customHeight="1">
      <c r="B27" s="3" t="s">
        <v>48</v>
      </c>
      <c r="C27" s="3" t="s">
        <v>36</v>
      </c>
      <c r="D27" s="8">
        <v>6</v>
      </c>
      <c r="E27" s="8">
        <f t="shared" si="0"/>
        <v>3</v>
      </c>
      <c r="F27" s="8">
        <f t="shared" si="1"/>
        <v>3</v>
      </c>
      <c r="G27" s="3">
        <v>0</v>
      </c>
      <c r="H27" s="3">
        <v>0</v>
      </c>
      <c r="I27" s="3">
        <v>3</v>
      </c>
      <c r="J27" s="3">
        <v>0</v>
      </c>
      <c r="K27" s="3">
        <v>0</v>
      </c>
      <c r="L27" s="3">
        <v>0</v>
      </c>
      <c r="M27" s="3">
        <v>0</v>
      </c>
      <c r="N27" s="3"/>
      <c r="O27" s="3"/>
      <c r="P27" s="3"/>
      <c r="Q27" s="3"/>
      <c r="R27" s="3"/>
      <c r="S27" s="3"/>
      <c r="T27" s="3"/>
    </row>
    <row r="28" spans="2:20" ht="25.25" customHeight="1">
      <c r="B28" s="3" t="s">
        <v>49</v>
      </c>
      <c r="C28" s="3" t="s">
        <v>62</v>
      </c>
      <c r="D28" s="8">
        <v>5</v>
      </c>
      <c r="E28" s="8">
        <f t="shared" si="0"/>
        <v>5</v>
      </c>
      <c r="F28" s="8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5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</row>
    <row r="29" spans="2:20" ht="25.25" customHeight="1">
      <c r="B29" s="42" t="s">
        <v>50</v>
      </c>
      <c r="C29" s="43"/>
      <c r="D29" s="8">
        <v>0</v>
      </c>
      <c r="E29" s="8">
        <f t="shared" si="0"/>
        <v>0</v>
      </c>
      <c r="F29" s="8">
        <f t="shared" si="1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ht="25.25" customHeight="1">
      <c r="B30" s="3" t="s">
        <v>51</v>
      </c>
      <c r="C30" s="3" t="s">
        <v>36</v>
      </c>
      <c r="D30" s="8">
        <v>6</v>
      </c>
      <c r="E30" s="8">
        <f t="shared" si="0"/>
        <v>6</v>
      </c>
      <c r="F30" s="8">
        <f t="shared" si="1"/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3">
        <v>0</v>
      </c>
      <c r="M30" s="3">
        <v>0</v>
      </c>
      <c r="N30" s="3"/>
      <c r="O30" s="3"/>
      <c r="P30" s="3"/>
      <c r="Q30" s="3"/>
      <c r="R30" s="3"/>
      <c r="S30" s="3"/>
      <c r="T30" s="3"/>
    </row>
    <row r="31" spans="2:20" ht="25.25" customHeight="1">
      <c r="B31" s="3" t="s">
        <v>52</v>
      </c>
      <c r="C31" s="3" t="s">
        <v>36</v>
      </c>
      <c r="D31" s="8">
        <v>12</v>
      </c>
      <c r="E31" s="8">
        <f t="shared" si="0"/>
        <v>11</v>
      </c>
      <c r="F31" s="8">
        <f t="shared" si="1"/>
        <v>1</v>
      </c>
      <c r="G31" s="3">
        <v>0</v>
      </c>
      <c r="H31" s="3">
        <v>5</v>
      </c>
      <c r="I31" s="3">
        <v>0</v>
      </c>
      <c r="J31" s="3">
        <v>3</v>
      </c>
      <c r="K31" s="3">
        <v>0</v>
      </c>
      <c r="L31" s="3">
        <v>3</v>
      </c>
      <c r="M31" s="3">
        <v>0</v>
      </c>
      <c r="N31" s="3"/>
      <c r="O31" s="3"/>
      <c r="P31" s="3"/>
      <c r="Q31" s="3"/>
      <c r="R31" s="3"/>
      <c r="S31" s="3"/>
      <c r="T31" s="3"/>
    </row>
    <row r="32" spans="2:20" ht="25.25" customHeight="1">
      <c r="B32" s="3" t="s">
        <v>55</v>
      </c>
      <c r="C32" s="3" t="s">
        <v>29</v>
      </c>
      <c r="D32" s="8">
        <v>8</v>
      </c>
      <c r="E32" s="8">
        <f t="shared" si="0"/>
        <v>4</v>
      </c>
      <c r="F32" s="8">
        <f t="shared" si="1"/>
        <v>4</v>
      </c>
      <c r="G32" s="3">
        <v>0</v>
      </c>
      <c r="H32" s="1">
        <v>0</v>
      </c>
      <c r="I32" s="3">
        <v>0</v>
      </c>
      <c r="J32" s="3">
        <v>0</v>
      </c>
      <c r="K32" s="3">
        <v>4</v>
      </c>
      <c r="L32" s="3">
        <v>0</v>
      </c>
      <c r="M32" s="3">
        <v>0</v>
      </c>
      <c r="N32" s="3"/>
      <c r="O32" s="3"/>
      <c r="P32" s="3"/>
      <c r="Q32" s="3"/>
      <c r="R32" s="3"/>
      <c r="S32" s="3"/>
      <c r="T32" s="3"/>
    </row>
    <row r="33" spans="2:20" ht="25.25" customHeight="1">
      <c r="B33" s="3" t="s">
        <v>56</v>
      </c>
      <c r="C33" s="3" t="s">
        <v>29</v>
      </c>
      <c r="D33" s="8">
        <v>5</v>
      </c>
      <c r="E33" s="8">
        <f t="shared" si="0"/>
        <v>5</v>
      </c>
      <c r="F33" s="8">
        <f>D33-E33</f>
        <v>0</v>
      </c>
      <c r="G33" s="3">
        <v>0</v>
      </c>
      <c r="H33" s="1">
        <v>0</v>
      </c>
      <c r="I33" s="3">
        <v>2</v>
      </c>
      <c r="J33" s="3">
        <v>0</v>
      </c>
      <c r="K33" s="3">
        <v>0</v>
      </c>
      <c r="L33" s="3">
        <v>0</v>
      </c>
      <c r="M33" s="3">
        <v>3</v>
      </c>
      <c r="N33" s="3"/>
      <c r="O33" s="3"/>
      <c r="P33" s="3"/>
      <c r="Q33" s="3"/>
      <c r="R33" s="3"/>
      <c r="S33" s="3"/>
      <c r="T33" s="3"/>
    </row>
    <row r="34" spans="2:20" ht="22.25" customHeight="1">
      <c r="B34" s="42" t="s">
        <v>53</v>
      </c>
      <c r="C34" s="43"/>
      <c r="D34" s="8">
        <v>0</v>
      </c>
      <c r="E34" s="8">
        <f t="shared" si="0"/>
        <v>0</v>
      </c>
      <c r="F34" s="8">
        <f t="shared" si="1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2:20" ht="25.25" customHeight="1">
      <c r="B35" s="3" t="s">
        <v>57</v>
      </c>
      <c r="C35" s="3" t="s">
        <v>33</v>
      </c>
      <c r="D35" s="8">
        <v>10</v>
      </c>
      <c r="E35" s="8">
        <f t="shared" si="0"/>
        <v>8</v>
      </c>
      <c r="F35" s="8">
        <f>D35-E35</f>
        <v>2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2</v>
      </c>
      <c r="M35" s="3">
        <v>5</v>
      </c>
      <c r="N35" s="3"/>
      <c r="O35" s="3"/>
      <c r="P35" s="3"/>
      <c r="Q35" s="3"/>
      <c r="R35" s="3"/>
      <c r="S35" s="3"/>
      <c r="T35" s="3"/>
    </row>
    <row r="36" spans="2:20" ht="25.25" customHeight="1">
      <c r="B36" s="3" t="s">
        <v>58</v>
      </c>
      <c r="C36" s="3" t="s">
        <v>33</v>
      </c>
      <c r="D36" s="8">
        <v>8</v>
      </c>
      <c r="E36" s="8">
        <f>SUM(G36:T36)</f>
        <v>6</v>
      </c>
      <c r="F36" s="8">
        <f t="shared" si="1"/>
        <v>2</v>
      </c>
      <c r="G36" s="3">
        <v>0</v>
      </c>
      <c r="H36" s="3">
        <v>0</v>
      </c>
      <c r="I36" s="3">
        <v>3</v>
      </c>
      <c r="J36" s="3">
        <v>0</v>
      </c>
      <c r="K36" s="3">
        <v>1</v>
      </c>
      <c r="L36" s="3">
        <v>2</v>
      </c>
      <c r="M36" s="3">
        <v>0</v>
      </c>
      <c r="N36" s="3"/>
      <c r="O36" s="3"/>
      <c r="P36" s="3"/>
      <c r="Q36" s="3"/>
      <c r="R36" s="3"/>
      <c r="S36" s="3"/>
      <c r="T36" s="3"/>
    </row>
    <row r="37" spans="2:20" ht="25.25" customHeight="1">
      <c r="B37" s="3" t="s">
        <v>59</v>
      </c>
      <c r="C37" s="3" t="s">
        <v>62</v>
      </c>
      <c r="D37" s="8">
        <v>10</v>
      </c>
      <c r="E37" s="8">
        <f>SUM(G37:T37)</f>
        <v>8</v>
      </c>
      <c r="F37" s="8">
        <f t="shared" si="1"/>
        <v>2</v>
      </c>
      <c r="G37" s="3">
        <v>0</v>
      </c>
      <c r="H37" s="3">
        <v>2</v>
      </c>
      <c r="I37" s="3">
        <v>0</v>
      </c>
      <c r="J37" s="3">
        <v>2</v>
      </c>
      <c r="K37" s="3">
        <v>0</v>
      </c>
      <c r="L37" s="3">
        <v>0</v>
      </c>
      <c r="M37" s="3">
        <v>4</v>
      </c>
      <c r="N37" s="3"/>
      <c r="O37" s="3"/>
      <c r="P37" s="3"/>
      <c r="Q37" s="3"/>
      <c r="R37" s="3"/>
      <c r="S37" s="3"/>
      <c r="T37" s="3"/>
    </row>
    <row r="38" spans="2:20" ht="25.25" customHeight="1">
      <c r="B38" s="3" t="s">
        <v>54</v>
      </c>
      <c r="C38" s="3" t="s">
        <v>62</v>
      </c>
      <c r="D38" s="8">
        <v>6</v>
      </c>
      <c r="E38" s="8">
        <f t="shared" si="0"/>
        <v>4</v>
      </c>
      <c r="F38" s="8">
        <f t="shared" si="1"/>
        <v>2</v>
      </c>
      <c r="G38" s="3">
        <v>0</v>
      </c>
      <c r="H38" s="3">
        <v>0</v>
      </c>
      <c r="I38" s="3">
        <v>0</v>
      </c>
      <c r="J38" s="3">
        <v>0</v>
      </c>
      <c r="K38" s="3">
        <v>2</v>
      </c>
      <c r="L38" s="3">
        <v>0</v>
      </c>
      <c r="M38" s="3">
        <v>2</v>
      </c>
      <c r="N38" s="3"/>
      <c r="O38" s="3"/>
      <c r="P38" s="3"/>
      <c r="Q38" s="3"/>
      <c r="R38" s="3"/>
      <c r="S38" s="3"/>
      <c r="T38" s="3"/>
    </row>
    <row r="39" spans="2:20" ht="25.25" customHeight="1">
      <c r="B39" s="3" t="s">
        <v>60</v>
      </c>
      <c r="C39" s="3" t="s">
        <v>33</v>
      </c>
      <c r="D39" s="8">
        <v>5</v>
      </c>
      <c r="E39" s="8">
        <f t="shared" si="0"/>
        <v>5</v>
      </c>
      <c r="F39" s="8">
        <f t="shared" si="1"/>
        <v>0</v>
      </c>
      <c r="G39" s="3">
        <v>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2</v>
      </c>
      <c r="N39" s="3"/>
      <c r="O39" s="3"/>
      <c r="P39" s="3"/>
      <c r="Q39" s="3"/>
      <c r="R39" s="3"/>
      <c r="S39" s="3"/>
      <c r="T39" s="3"/>
    </row>
    <row r="40" spans="2:20" ht="25.25" customHeight="1">
      <c r="B40" s="18"/>
      <c r="C40" s="19"/>
      <c r="D40" s="8">
        <v>0</v>
      </c>
      <c r="E40" s="8">
        <f t="shared" si="0"/>
        <v>0</v>
      </c>
      <c r="F40" s="8">
        <f t="shared" si="1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ht="35" customHeight="1">
      <c r="B41" s="40" t="s">
        <v>6</v>
      </c>
      <c r="C41" s="41"/>
      <c r="D41" s="10">
        <f>SUM(D7:D16)</f>
        <v>62</v>
      </c>
      <c r="E41" s="10">
        <f>SUM(E7:E16)</f>
        <v>51</v>
      </c>
      <c r="F41" s="10">
        <f>SUM(F7:F16)</f>
        <v>11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ht="21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</sheetData>
  <mergeCells count="14">
    <mergeCell ref="B41:C41"/>
    <mergeCell ref="B34:C34"/>
    <mergeCell ref="B1:T1"/>
    <mergeCell ref="D2:E2"/>
    <mergeCell ref="D3:E3"/>
    <mergeCell ref="F3:G3"/>
    <mergeCell ref="F2:G2"/>
    <mergeCell ref="H2:J2"/>
    <mergeCell ref="H3:J3"/>
    <mergeCell ref="B12:C12"/>
    <mergeCell ref="B7:C7"/>
    <mergeCell ref="B22:C22"/>
    <mergeCell ref="B29:C29"/>
    <mergeCell ref="B17:C17"/>
  </mergeCells>
  <pageMargins left="0.3" right="0.3" top="0.3" bottom="0.3" header="0" footer="0"/>
  <pageSetup scale="45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FF1D-F1EF-474B-985E-62FE04802D27}">
  <dimension ref="A1:AQ145"/>
  <sheetViews>
    <sheetView tabSelected="1" topLeftCell="A21" zoomScale="40" zoomScaleNormal="130" workbookViewId="0">
      <selection activeCell="L4" sqref="L4"/>
    </sheetView>
  </sheetViews>
  <sheetFormatPr defaultRowHeight="13.5"/>
  <cols>
    <col min="1" max="1" width="3.27734375" style="21" customWidth="1"/>
    <col min="2" max="2" width="30.83203125" style="21" customWidth="1"/>
    <col min="3" max="3" width="31.71875" style="21" customWidth="1"/>
    <col min="4" max="4" width="16.609375" style="21" customWidth="1"/>
    <col min="5" max="6" width="9.6640625" style="21" customWidth="1"/>
    <col min="7" max="7" width="9.5" style="21" customWidth="1"/>
    <col min="8" max="43" width="9.6640625" style="21" customWidth="1"/>
    <col min="44" max="16384" width="8.88671875" style="21"/>
  </cols>
  <sheetData>
    <row r="1" spans="1:43" ht="27" customHeight="1">
      <c r="A1" s="22"/>
      <c r="B1" s="51" t="s">
        <v>116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ht="27" customHeight="1">
      <c r="A2" s="22"/>
      <c r="B2" s="39" t="s">
        <v>7</v>
      </c>
      <c r="C2" s="39" t="s">
        <v>8</v>
      </c>
      <c r="D2" s="52" t="s">
        <v>12</v>
      </c>
      <c r="E2" s="52"/>
      <c r="F2" s="52" t="s">
        <v>11</v>
      </c>
      <c r="G2" s="52"/>
      <c r="H2" s="52" t="s">
        <v>13</v>
      </c>
      <c r="I2" s="52"/>
      <c r="J2" s="52"/>
      <c r="K2" s="33"/>
      <c r="L2" s="33"/>
      <c r="M2" s="33"/>
      <c r="N2" s="33"/>
      <c r="O2" s="33"/>
      <c r="P2" s="33"/>
      <c r="Q2" s="33"/>
      <c r="R2" s="33"/>
      <c r="S2" s="33"/>
      <c r="T2" s="33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</row>
    <row r="3" spans="1:43" ht="27" customHeight="1">
      <c r="A3" s="22"/>
      <c r="B3" s="38" t="s">
        <v>118</v>
      </c>
      <c r="C3" s="38">
        <v>45700.000798611123</v>
      </c>
      <c r="D3" s="53">
        <f>D50</f>
        <v>37</v>
      </c>
      <c r="E3" s="53"/>
      <c r="F3" s="53">
        <f>E50</f>
        <v>35</v>
      </c>
      <c r="G3" s="53"/>
      <c r="H3" s="53">
        <f>F50</f>
        <v>2</v>
      </c>
      <c r="I3" s="53"/>
      <c r="J3" s="53"/>
      <c r="K3" s="33"/>
      <c r="L3" s="33"/>
      <c r="M3" s="33"/>
      <c r="N3" s="33"/>
      <c r="O3" s="33"/>
      <c r="P3" s="33"/>
      <c r="Q3" s="33"/>
      <c r="R3" s="33"/>
      <c r="S3" s="33"/>
      <c r="T3" s="33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</row>
    <row r="4" spans="1:43" ht="27" customHeight="1">
      <c r="A4" s="22"/>
      <c r="B4" s="37" t="s">
        <v>24</v>
      </c>
      <c r="C4" s="36" t="s">
        <v>115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5" spans="1:43" ht="12" customHeight="1">
      <c r="A5" s="22"/>
      <c r="B5" s="35"/>
      <c r="C5" s="33"/>
      <c r="D5" s="34"/>
      <c r="E5" s="34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</row>
    <row r="6" spans="1:43" ht="61.5" customHeight="1">
      <c r="A6" s="22"/>
      <c r="B6" s="32" t="s">
        <v>23</v>
      </c>
      <c r="C6" s="32" t="s">
        <v>0</v>
      </c>
      <c r="D6" s="31" t="s">
        <v>9</v>
      </c>
      <c r="E6" s="31" t="s">
        <v>11</v>
      </c>
      <c r="F6" s="31" t="s">
        <v>10</v>
      </c>
      <c r="G6" s="30" t="s">
        <v>1</v>
      </c>
      <c r="H6" s="30" t="s">
        <v>2</v>
      </c>
      <c r="I6" s="30" t="s">
        <v>3</v>
      </c>
      <c r="J6" s="30" t="s">
        <v>4</v>
      </c>
      <c r="K6" s="30" t="s">
        <v>5</v>
      </c>
      <c r="L6" s="30" t="s">
        <v>14</v>
      </c>
      <c r="M6" s="30" t="s">
        <v>15</v>
      </c>
      <c r="N6" s="30" t="s">
        <v>16</v>
      </c>
      <c r="O6" s="30" t="s">
        <v>17</v>
      </c>
      <c r="P6" s="30" t="s">
        <v>18</v>
      </c>
      <c r="Q6" s="30" t="s">
        <v>19</v>
      </c>
      <c r="R6" s="30" t="s">
        <v>20</v>
      </c>
      <c r="S6" s="30" t="s">
        <v>21</v>
      </c>
      <c r="T6" s="30" t="s">
        <v>22</v>
      </c>
      <c r="U6" s="30" t="s">
        <v>15</v>
      </c>
      <c r="V6" s="30" t="s">
        <v>16</v>
      </c>
      <c r="W6" s="30" t="s">
        <v>17</v>
      </c>
      <c r="X6" s="30" t="s">
        <v>18</v>
      </c>
      <c r="Y6" s="30" t="s">
        <v>19</v>
      </c>
      <c r="Z6" s="30" t="s">
        <v>20</v>
      </c>
      <c r="AA6" s="30" t="s">
        <v>21</v>
      </c>
      <c r="AB6" s="30" t="s">
        <v>22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27" customHeight="1">
      <c r="A7" s="22"/>
      <c r="B7" s="50" t="s">
        <v>114</v>
      </c>
      <c r="C7" s="50"/>
      <c r="D7" s="28">
        <v>0</v>
      </c>
      <c r="E7" s="28">
        <f t="shared" ref="E7:E49" si="0">SUM(G7:AD7)</f>
        <v>0</v>
      </c>
      <c r="F7" s="28">
        <f t="shared" ref="F7:F49" si="1">D7-E7</f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27.75" customHeight="1">
      <c r="A8" s="22"/>
      <c r="B8" s="27" t="s">
        <v>113</v>
      </c>
      <c r="C8" s="27" t="s">
        <v>66</v>
      </c>
      <c r="D8" s="28">
        <v>6</v>
      </c>
      <c r="E8" s="28">
        <f t="shared" si="0"/>
        <v>5</v>
      </c>
      <c r="F8" s="28">
        <f t="shared" si="1"/>
        <v>1</v>
      </c>
      <c r="G8" s="27">
        <v>2</v>
      </c>
      <c r="H8" s="27">
        <v>2</v>
      </c>
      <c r="I8" s="27">
        <v>1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 spans="1:43" ht="27.75" customHeight="1">
      <c r="A9" s="22"/>
      <c r="B9" s="27" t="s">
        <v>112</v>
      </c>
      <c r="C9" s="27" t="s">
        <v>68</v>
      </c>
      <c r="D9" s="28">
        <v>10</v>
      </c>
      <c r="E9" s="28">
        <f t="shared" si="0"/>
        <v>9</v>
      </c>
      <c r="F9" s="28">
        <f t="shared" si="1"/>
        <v>1</v>
      </c>
      <c r="G9" s="27">
        <v>2</v>
      </c>
      <c r="H9" s="27">
        <v>3</v>
      </c>
      <c r="I9" s="27">
        <v>2</v>
      </c>
      <c r="J9" s="27">
        <v>2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B9" s="27">
        <v>0</v>
      </c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pans="1:43" ht="33" customHeight="1">
      <c r="A10" s="22"/>
      <c r="B10" s="29" t="s">
        <v>111</v>
      </c>
      <c r="C10" s="22" t="s">
        <v>105</v>
      </c>
      <c r="D10" s="22">
        <v>8</v>
      </c>
      <c r="E10" s="28">
        <f t="shared" si="0"/>
        <v>8</v>
      </c>
      <c r="F10" s="28">
        <f t="shared" si="1"/>
        <v>0</v>
      </c>
      <c r="G10" s="27">
        <v>2</v>
      </c>
      <c r="H10" s="27">
        <v>2</v>
      </c>
      <c r="I10" s="27">
        <v>2</v>
      </c>
      <c r="J10" s="27">
        <v>2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33" customHeight="1">
      <c r="A11" s="22"/>
      <c r="B11" s="22" t="s">
        <v>110</v>
      </c>
      <c r="C11" s="22" t="s">
        <v>78</v>
      </c>
      <c r="D11" s="22">
        <v>8</v>
      </c>
      <c r="E11" s="28">
        <f t="shared" si="0"/>
        <v>8</v>
      </c>
      <c r="F11" s="28">
        <f t="shared" si="1"/>
        <v>0</v>
      </c>
      <c r="G11" s="27">
        <v>3</v>
      </c>
      <c r="H11" s="27">
        <v>2</v>
      </c>
      <c r="I11" s="27">
        <v>1</v>
      </c>
      <c r="J11" s="27">
        <v>2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 ht="33" customHeight="1">
      <c r="A12" s="22"/>
      <c r="B12" s="22" t="s">
        <v>109</v>
      </c>
      <c r="C12" s="22" t="s">
        <v>63</v>
      </c>
      <c r="D12" s="22">
        <v>5</v>
      </c>
      <c r="E12" s="28">
        <f t="shared" si="0"/>
        <v>5</v>
      </c>
      <c r="F12" s="28">
        <f t="shared" si="1"/>
        <v>0</v>
      </c>
      <c r="G12" s="27">
        <v>0</v>
      </c>
      <c r="H12" s="27">
        <v>0</v>
      </c>
      <c r="I12" s="27">
        <v>2</v>
      </c>
      <c r="J12" s="27">
        <v>3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pans="1:43" ht="27" customHeight="1">
      <c r="A13" s="22"/>
      <c r="B13" s="50" t="s">
        <v>108</v>
      </c>
      <c r="C13" s="50"/>
      <c r="D13" s="28">
        <v>0</v>
      </c>
      <c r="E13" s="28">
        <f t="shared" si="0"/>
        <v>0</v>
      </c>
      <c r="F13" s="28">
        <f t="shared" si="1"/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pans="1:43" ht="27" customHeight="1">
      <c r="A14" s="22"/>
      <c r="B14" s="27" t="s">
        <v>107</v>
      </c>
      <c r="C14" s="27" t="s">
        <v>81</v>
      </c>
      <c r="D14" s="28">
        <v>4</v>
      </c>
      <c r="E14" s="28">
        <f t="shared" si="0"/>
        <v>4</v>
      </c>
      <c r="F14" s="28">
        <f t="shared" si="1"/>
        <v>0</v>
      </c>
      <c r="G14" s="27">
        <v>0</v>
      </c>
      <c r="H14" s="27">
        <v>0</v>
      </c>
      <c r="I14" s="27">
        <v>1</v>
      </c>
      <c r="J14" s="27">
        <v>1</v>
      </c>
      <c r="K14" s="27">
        <v>2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 ht="27.75" customHeight="1">
      <c r="A15" s="22"/>
      <c r="B15" s="27" t="s">
        <v>106</v>
      </c>
      <c r="C15" s="27" t="s">
        <v>105</v>
      </c>
      <c r="D15" s="28">
        <v>6</v>
      </c>
      <c r="E15" s="28">
        <f t="shared" si="0"/>
        <v>6</v>
      </c>
      <c r="F15" s="28">
        <f t="shared" si="1"/>
        <v>0</v>
      </c>
      <c r="G15" s="27">
        <v>0</v>
      </c>
      <c r="H15" s="27">
        <v>0</v>
      </c>
      <c r="I15" s="27">
        <v>0</v>
      </c>
      <c r="J15" s="27">
        <v>0</v>
      </c>
      <c r="K15" s="27">
        <v>3</v>
      </c>
      <c r="L15" s="27">
        <v>3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pans="1:43" ht="27.75" customHeight="1">
      <c r="A16" s="22"/>
      <c r="B16" s="27" t="s">
        <v>104</v>
      </c>
      <c r="C16" s="27" t="s">
        <v>78</v>
      </c>
      <c r="D16" s="28">
        <v>8</v>
      </c>
      <c r="E16" s="28">
        <f t="shared" si="0"/>
        <v>8</v>
      </c>
      <c r="F16" s="28">
        <f t="shared" si="1"/>
        <v>0</v>
      </c>
      <c r="G16" s="27">
        <v>0</v>
      </c>
      <c r="H16" s="27">
        <v>0</v>
      </c>
      <c r="I16" s="27">
        <v>0</v>
      </c>
      <c r="J16" s="27">
        <v>0</v>
      </c>
      <c r="K16" s="27">
        <v>2</v>
      </c>
      <c r="L16" s="27">
        <v>2</v>
      </c>
      <c r="M16" s="27">
        <v>3</v>
      </c>
      <c r="N16" s="27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pans="1:43" ht="33" customHeight="1">
      <c r="A17" s="22"/>
      <c r="B17" s="22" t="s">
        <v>103</v>
      </c>
      <c r="C17" s="22" t="s">
        <v>102</v>
      </c>
      <c r="D17" s="22">
        <v>8</v>
      </c>
      <c r="E17" s="28">
        <f t="shared" si="0"/>
        <v>8</v>
      </c>
      <c r="F17" s="28">
        <f t="shared" si="1"/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3</v>
      </c>
      <c r="M17" s="27">
        <v>2</v>
      </c>
      <c r="N17" s="27">
        <v>2</v>
      </c>
      <c r="O17" s="27">
        <v>1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spans="1:43" ht="27" customHeight="1">
      <c r="A18" s="22"/>
      <c r="B18" s="22" t="s">
        <v>101</v>
      </c>
      <c r="C18" s="22" t="s">
        <v>68</v>
      </c>
      <c r="D18" s="22">
        <v>4</v>
      </c>
      <c r="E18" s="28">
        <f t="shared" si="0"/>
        <v>4</v>
      </c>
      <c r="F18" s="28">
        <f t="shared" si="1"/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2</v>
      </c>
      <c r="M18" s="27">
        <v>2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spans="1:43" ht="27" customHeight="1">
      <c r="A19" s="22"/>
      <c r="B19" s="48" t="s">
        <v>100</v>
      </c>
      <c r="C19" s="48"/>
      <c r="D19" s="22">
        <v>0</v>
      </c>
      <c r="E19" s="28">
        <f t="shared" si="0"/>
        <v>0</v>
      </c>
      <c r="F19" s="28">
        <f t="shared" si="1"/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1:43" ht="33" customHeight="1">
      <c r="A20" s="22"/>
      <c r="B20" s="22" t="s">
        <v>99</v>
      </c>
      <c r="C20" s="22" t="s">
        <v>81</v>
      </c>
      <c r="D20" s="22">
        <v>5</v>
      </c>
      <c r="E20" s="28">
        <f t="shared" si="0"/>
        <v>5</v>
      </c>
      <c r="F20" s="28">
        <f t="shared" si="1"/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2</v>
      </c>
      <c r="M20" s="27">
        <v>2</v>
      </c>
      <c r="N20" s="27">
        <v>1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 ht="33" customHeight="1">
      <c r="A21" s="22"/>
      <c r="B21" s="22" t="s">
        <v>98</v>
      </c>
      <c r="C21" s="22" t="s">
        <v>78</v>
      </c>
      <c r="D21" s="22">
        <v>8</v>
      </c>
      <c r="E21" s="28">
        <f t="shared" si="0"/>
        <v>7</v>
      </c>
      <c r="F21" s="28">
        <f t="shared" si="1"/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2</v>
      </c>
      <c r="M21" s="27">
        <v>2</v>
      </c>
      <c r="N21" s="27">
        <v>3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pans="1:43" ht="33" customHeight="1">
      <c r="A22" s="22"/>
      <c r="B22" s="22" t="s">
        <v>97</v>
      </c>
      <c r="C22" s="22" t="s">
        <v>29</v>
      </c>
      <c r="D22" s="22">
        <v>7</v>
      </c>
      <c r="E22" s="28">
        <f t="shared" si="0"/>
        <v>7</v>
      </c>
      <c r="F22" s="28">
        <f t="shared" si="1"/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2</v>
      </c>
      <c r="M22" s="27">
        <v>3</v>
      </c>
      <c r="N22" s="27">
        <v>2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pans="1:43" ht="33" customHeight="1">
      <c r="A23" s="22"/>
      <c r="B23" s="22" t="s">
        <v>96</v>
      </c>
      <c r="C23" s="22" t="s">
        <v>81</v>
      </c>
      <c r="D23" s="22">
        <v>6</v>
      </c>
      <c r="E23" s="28">
        <f t="shared" si="0"/>
        <v>6</v>
      </c>
      <c r="F23" s="28">
        <f t="shared" si="1"/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2</v>
      </c>
      <c r="M23" s="27">
        <v>2</v>
      </c>
      <c r="N23" s="27">
        <v>2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pans="1:43" ht="33" customHeight="1">
      <c r="A24" s="22"/>
      <c r="B24" s="22" t="s">
        <v>95</v>
      </c>
      <c r="C24" s="22" t="s">
        <v>63</v>
      </c>
      <c r="D24" s="22">
        <v>4</v>
      </c>
      <c r="E24" s="28">
        <f t="shared" si="0"/>
        <v>4</v>
      </c>
      <c r="F24" s="28">
        <f t="shared" si="1"/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2</v>
      </c>
      <c r="N24" s="27">
        <v>2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 ht="27" customHeight="1">
      <c r="A25" s="22"/>
      <c r="B25" s="48" t="s">
        <v>94</v>
      </c>
      <c r="C25" s="48"/>
      <c r="D25" s="22"/>
      <c r="E25" s="28">
        <f t="shared" si="0"/>
        <v>0</v>
      </c>
      <c r="F25" s="28">
        <f t="shared" si="1"/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 ht="27" customHeight="1">
      <c r="A26" s="22"/>
      <c r="B26" s="22" t="s">
        <v>93</v>
      </c>
      <c r="C26" s="22" t="s">
        <v>81</v>
      </c>
      <c r="D26" s="22">
        <v>5</v>
      </c>
      <c r="E26" s="28">
        <f t="shared" si="0"/>
        <v>5</v>
      </c>
      <c r="F26" s="28">
        <f t="shared" si="1"/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2</v>
      </c>
      <c r="N26" s="27">
        <v>2</v>
      </c>
      <c r="O26" s="27">
        <v>1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 ht="33" customHeight="1">
      <c r="A27" s="22"/>
      <c r="B27" s="22" t="s">
        <v>92</v>
      </c>
      <c r="C27" s="22" t="s">
        <v>29</v>
      </c>
      <c r="D27" s="22">
        <v>8</v>
      </c>
      <c r="E27" s="28">
        <f t="shared" si="0"/>
        <v>8</v>
      </c>
      <c r="F27" s="28">
        <f t="shared" si="1"/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2</v>
      </c>
      <c r="O27" s="27">
        <v>3</v>
      </c>
      <c r="P27" s="27">
        <v>3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spans="1:43" ht="27" customHeight="1">
      <c r="A28" s="22"/>
      <c r="B28" s="22" t="s">
        <v>91</v>
      </c>
      <c r="C28" s="22" t="s">
        <v>78</v>
      </c>
      <c r="D28" s="22">
        <v>6</v>
      </c>
      <c r="E28" s="28">
        <f t="shared" si="0"/>
        <v>5</v>
      </c>
      <c r="F28" s="28">
        <f t="shared" si="1"/>
        <v>1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2</v>
      </c>
      <c r="O28" s="27">
        <v>3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spans="1:43" ht="27" customHeight="1">
      <c r="A29" s="22"/>
      <c r="B29" s="22" t="s">
        <v>90</v>
      </c>
      <c r="C29" s="22" t="s">
        <v>89</v>
      </c>
      <c r="D29" s="22">
        <v>4</v>
      </c>
      <c r="E29" s="28">
        <f t="shared" si="0"/>
        <v>3</v>
      </c>
      <c r="F29" s="28">
        <f t="shared" si="1"/>
        <v>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1</v>
      </c>
      <c r="O29" s="27">
        <v>2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 spans="1:43" ht="27" customHeight="1">
      <c r="A30" s="22"/>
      <c r="B30" s="48" t="s">
        <v>88</v>
      </c>
      <c r="C30" s="48"/>
      <c r="D30" s="22"/>
      <c r="E30" s="28">
        <f t="shared" si="0"/>
        <v>0</v>
      </c>
      <c r="F30" s="28">
        <f t="shared" si="1"/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</row>
    <row r="31" spans="1:43" ht="33" customHeight="1">
      <c r="A31" s="22"/>
      <c r="B31" s="22" t="s">
        <v>87</v>
      </c>
      <c r="C31" s="22" t="s">
        <v>81</v>
      </c>
      <c r="D31" s="22">
        <v>7</v>
      </c>
      <c r="E31" s="28">
        <f t="shared" si="0"/>
        <v>7</v>
      </c>
      <c r="F31" s="28">
        <f t="shared" si="1"/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2</v>
      </c>
      <c r="P31" s="27">
        <v>2</v>
      </c>
      <c r="Q31" s="27">
        <v>3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spans="1:43" ht="27" customHeight="1">
      <c r="A32" s="22"/>
      <c r="B32" s="22" t="s">
        <v>86</v>
      </c>
      <c r="C32" s="22" t="s">
        <v>29</v>
      </c>
      <c r="D32" s="22">
        <v>10</v>
      </c>
      <c r="E32" s="28">
        <f t="shared" si="0"/>
        <v>8</v>
      </c>
      <c r="F32" s="28">
        <f t="shared" si="1"/>
        <v>2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1</v>
      </c>
      <c r="P32" s="27">
        <v>2</v>
      </c>
      <c r="Q32" s="27">
        <v>3</v>
      </c>
      <c r="R32" s="27">
        <v>2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1:43" ht="33" customHeight="1">
      <c r="A33" s="22"/>
      <c r="B33" s="22" t="s">
        <v>85</v>
      </c>
      <c r="C33" s="22" t="s">
        <v>78</v>
      </c>
      <c r="D33" s="22">
        <v>8</v>
      </c>
      <c r="E33" s="28">
        <f t="shared" si="0"/>
        <v>8</v>
      </c>
      <c r="F33" s="28">
        <f t="shared" si="1"/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1</v>
      </c>
      <c r="P33" s="27">
        <v>3</v>
      </c>
      <c r="Q33" s="27">
        <v>2</v>
      </c>
      <c r="R33" s="27">
        <v>2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spans="1:43" ht="33" customHeight="1">
      <c r="A34" s="22"/>
      <c r="B34" s="22" t="s">
        <v>84</v>
      </c>
      <c r="C34" s="22" t="s">
        <v>63</v>
      </c>
      <c r="D34" s="22">
        <v>5</v>
      </c>
      <c r="E34" s="28">
        <f t="shared" si="0"/>
        <v>5</v>
      </c>
      <c r="F34" s="28">
        <f t="shared" si="1"/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2</v>
      </c>
      <c r="P34" s="27">
        <v>2</v>
      </c>
      <c r="Q34" s="27">
        <v>1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spans="1:43" ht="27" customHeight="1">
      <c r="A35" s="22"/>
      <c r="B35" s="48" t="s">
        <v>83</v>
      </c>
      <c r="C35" s="48"/>
      <c r="D35" s="22"/>
      <c r="E35" s="28">
        <f t="shared" si="0"/>
        <v>0</v>
      </c>
      <c r="F35" s="28">
        <f t="shared" si="1"/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3" ht="33" customHeight="1">
      <c r="A36" s="22"/>
      <c r="B36" s="22" t="s">
        <v>82</v>
      </c>
      <c r="C36" s="22" t="s">
        <v>81</v>
      </c>
      <c r="D36" s="22">
        <v>8</v>
      </c>
      <c r="E36" s="28">
        <f t="shared" si="0"/>
        <v>8</v>
      </c>
      <c r="F36" s="28">
        <f t="shared" si="1"/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2</v>
      </c>
      <c r="Q36" s="27">
        <v>4</v>
      </c>
      <c r="R36" s="27">
        <v>2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spans="1:43" ht="33" customHeight="1">
      <c r="A37" s="22"/>
      <c r="B37" s="22" t="s">
        <v>80</v>
      </c>
      <c r="C37" s="22" t="s">
        <v>29</v>
      </c>
      <c r="D37" s="22">
        <v>7</v>
      </c>
      <c r="E37" s="28">
        <f t="shared" si="0"/>
        <v>7</v>
      </c>
      <c r="F37" s="28">
        <f t="shared" si="1"/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2</v>
      </c>
      <c r="P37" s="27">
        <v>2</v>
      </c>
      <c r="Q37" s="27">
        <v>3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 ht="33" customHeight="1">
      <c r="A38" s="22"/>
      <c r="B38" s="22" t="s">
        <v>79</v>
      </c>
      <c r="C38" s="22" t="s">
        <v>78</v>
      </c>
      <c r="D38" s="22">
        <v>10</v>
      </c>
      <c r="E38" s="28">
        <f t="shared" si="0"/>
        <v>10</v>
      </c>
      <c r="F38" s="28">
        <f t="shared" si="1"/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2</v>
      </c>
      <c r="S38" s="27">
        <v>4</v>
      </c>
      <c r="T38" s="27">
        <v>3</v>
      </c>
      <c r="U38" s="27">
        <v>1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 ht="33" customHeight="1">
      <c r="A39" s="22"/>
      <c r="B39" s="22" t="s">
        <v>77</v>
      </c>
      <c r="C39" s="22" t="s">
        <v>66</v>
      </c>
      <c r="D39" s="22">
        <v>8</v>
      </c>
      <c r="E39" s="28">
        <f t="shared" si="0"/>
        <v>7</v>
      </c>
      <c r="F39" s="28">
        <f t="shared" si="1"/>
        <v>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2</v>
      </c>
      <c r="S39" s="27">
        <v>2</v>
      </c>
      <c r="T39" s="27">
        <v>3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ht="33" customHeight="1">
      <c r="A40" s="22"/>
      <c r="B40" s="22" t="s">
        <v>76</v>
      </c>
      <c r="C40" s="22" t="s">
        <v>29</v>
      </c>
      <c r="D40" s="22">
        <v>6</v>
      </c>
      <c r="E40" s="28">
        <f t="shared" si="0"/>
        <v>6</v>
      </c>
      <c r="F40" s="28">
        <f t="shared" si="1"/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2</v>
      </c>
      <c r="S40" s="27">
        <v>2</v>
      </c>
      <c r="T40" s="27">
        <v>2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spans="1:43" ht="33" customHeight="1">
      <c r="A41" s="22"/>
      <c r="B41" s="22" t="s">
        <v>75</v>
      </c>
      <c r="C41" s="22" t="s">
        <v>63</v>
      </c>
      <c r="D41" s="22">
        <v>5</v>
      </c>
      <c r="E41" s="28">
        <f t="shared" si="0"/>
        <v>5</v>
      </c>
      <c r="F41" s="28">
        <f t="shared" si="1"/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3</v>
      </c>
      <c r="T41" s="27">
        <v>2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spans="1:43" ht="27" customHeight="1">
      <c r="A42" s="22"/>
      <c r="B42" s="48" t="s">
        <v>74</v>
      </c>
      <c r="C42" s="48"/>
      <c r="D42" s="22"/>
      <c r="E42" s="28">
        <f t="shared" si="0"/>
        <v>0</v>
      </c>
      <c r="F42" s="28">
        <f t="shared" si="1"/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spans="1:43" ht="33" customHeight="1">
      <c r="A43" s="22"/>
      <c r="B43" s="22" t="s">
        <v>73</v>
      </c>
      <c r="C43" s="22" t="s">
        <v>72</v>
      </c>
      <c r="D43" s="22">
        <v>7</v>
      </c>
      <c r="E43" s="28">
        <f t="shared" si="0"/>
        <v>7</v>
      </c>
      <c r="F43" s="28">
        <f t="shared" si="1"/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2</v>
      </c>
      <c r="T43" s="27">
        <v>2</v>
      </c>
      <c r="U43" s="27">
        <v>2</v>
      </c>
      <c r="V43" s="27">
        <v>1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spans="1:43" ht="33" customHeight="1">
      <c r="A44" s="22"/>
      <c r="B44" s="22" t="s">
        <v>71</v>
      </c>
      <c r="C44" s="22" t="s">
        <v>29</v>
      </c>
      <c r="D44" s="22">
        <v>6</v>
      </c>
      <c r="E44" s="28">
        <f t="shared" si="0"/>
        <v>6</v>
      </c>
      <c r="F44" s="28">
        <f t="shared" si="1"/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1</v>
      </c>
      <c r="T44" s="27">
        <v>1</v>
      </c>
      <c r="U44" s="27">
        <v>2</v>
      </c>
      <c r="V44" s="27">
        <v>2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spans="1:43" ht="33" customHeight="1">
      <c r="A45" s="22"/>
      <c r="B45" s="22" t="s">
        <v>70</v>
      </c>
      <c r="C45" s="22" t="s">
        <v>68</v>
      </c>
      <c r="D45" s="22">
        <v>10</v>
      </c>
      <c r="E45" s="28">
        <f t="shared" si="0"/>
        <v>10</v>
      </c>
      <c r="F45" s="28">
        <f t="shared" si="1"/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2</v>
      </c>
      <c r="U45" s="27">
        <v>2</v>
      </c>
      <c r="V45" s="27">
        <v>2</v>
      </c>
      <c r="W45" s="27">
        <v>2</v>
      </c>
      <c r="X45" s="27">
        <v>2</v>
      </c>
      <c r="Y45" s="27">
        <v>0</v>
      </c>
      <c r="Z45" s="27">
        <v>0</v>
      </c>
      <c r="AA45" s="27">
        <v>0</v>
      </c>
      <c r="AB45" s="27">
        <v>0</v>
      </c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spans="1:43" ht="33" customHeight="1">
      <c r="A46" s="22"/>
      <c r="B46" s="22" t="s">
        <v>69</v>
      </c>
      <c r="C46" s="22" t="s">
        <v>68</v>
      </c>
      <c r="D46" s="22">
        <v>8</v>
      </c>
      <c r="E46" s="28">
        <f t="shared" si="0"/>
        <v>8</v>
      </c>
      <c r="F46" s="28">
        <f t="shared" si="1"/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2</v>
      </c>
      <c r="V46" s="27">
        <v>3</v>
      </c>
      <c r="W46" s="27">
        <v>3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spans="1:43" ht="33" customHeight="1">
      <c r="A47" s="22"/>
      <c r="B47" s="22" t="s">
        <v>67</v>
      </c>
      <c r="C47" s="22" t="s">
        <v>66</v>
      </c>
      <c r="D47" s="22">
        <v>5</v>
      </c>
      <c r="E47" s="28">
        <f t="shared" si="0"/>
        <v>5</v>
      </c>
      <c r="F47" s="28">
        <f t="shared" si="1"/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1</v>
      </c>
      <c r="AA47" s="27">
        <v>1</v>
      </c>
      <c r="AB47" s="27">
        <v>3</v>
      </c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spans="1:43" ht="33" customHeight="1">
      <c r="A48" s="22"/>
      <c r="B48" s="22" t="s">
        <v>65</v>
      </c>
      <c r="C48" s="22" t="s">
        <v>29</v>
      </c>
      <c r="D48" s="22">
        <v>6</v>
      </c>
      <c r="E48" s="28">
        <f t="shared" si="0"/>
        <v>5</v>
      </c>
      <c r="F48" s="28">
        <f t="shared" si="1"/>
        <v>1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3</v>
      </c>
      <c r="Z48" s="27">
        <v>1</v>
      </c>
      <c r="AA48" s="27">
        <v>1</v>
      </c>
      <c r="AB48" s="27">
        <v>0</v>
      </c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spans="1:43" ht="33" customHeight="1">
      <c r="A49" s="22"/>
      <c r="B49" s="22" t="s">
        <v>64</v>
      </c>
      <c r="C49" s="22" t="s">
        <v>63</v>
      </c>
      <c r="D49" s="22">
        <v>5</v>
      </c>
      <c r="E49" s="28">
        <f t="shared" si="0"/>
        <v>5</v>
      </c>
      <c r="F49" s="28">
        <f t="shared" si="1"/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1</v>
      </c>
      <c r="AA49" s="27">
        <v>2</v>
      </c>
      <c r="AB49" s="27">
        <v>2</v>
      </c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spans="1:43" ht="27" customHeight="1">
      <c r="A50" s="22"/>
      <c r="B50" s="49" t="s">
        <v>6</v>
      </c>
      <c r="C50" s="49"/>
      <c r="D50" s="26">
        <f>SUM(D7:D13)</f>
        <v>37</v>
      </c>
      <c r="E50" s="26">
        <f>SUM(E7:E13)</f>
        <v>35</v>
      </c>
      <c r="F50" s="26">
        <f>SUM(F7:F13)</f>
        <v>2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spans="1:43" ht="21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spans="1:43" ht="27" customHeight="1">
      <c r="A52" s="22"/>
      <c r="B52" s="23"/>
      <c r="C52" s="24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spans="1:43" ht="27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spans="1:43" ht="27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spans="1:43" ht="27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spans="1:43" ht="27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spans="1:43" ht="27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spans="1:43" ht="27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spans="1:43" ht="27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spans="1:43" ht="27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spans="1:43" ht="27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1:43" ht="27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spans="1:43" ht="27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spans="1:43" ht="27" customHeight="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spans="1:43" ht="27" customHeight="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spans="1:43" ht="27" customHeight="1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spans="1:43" ht="27" customHeight="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spans="1:43" ht="27" customHeight="1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spans="1:43" ht="27" customHeight="1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spans="1:43" ht="27" customHeight="1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spans="1:43" ht="27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 spans="1:43" ht="27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spans="1:43" ht="27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spans="1:43" ht="27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spans="1:43" ht="27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spans="1:43" ht="27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spans="1:43" ht="27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spans="1:43" ht="27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spans="1:43" ht="27" customHeight="1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spans="1:43" ht="27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spans="1:43" ht="27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spans="1:43" ht="27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spans="1:43" ht="27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spans="1:43" ht="27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</row>
    <row r="85" spans="1:43" ht="27" customHeight="1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spans="1:43" ht="27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spans="1:43" ht="27" customHeight="1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spans="1:43" ht="27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spans="1:43" ht="27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spans="1:43" ht="27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spans="1:43" ht="27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spans="1:43" ht="27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spans="1:43" ht="27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spans="1:43" ht="27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spans="1:43" ht="27" customHeight="1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spans="1:43" ht="27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spans="1:43" ht="27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spans="1:43" ht="27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spans="1:43" ht="27" customHeight="1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spans="1:43" ht="27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spans="1:43" ht="27" customHeight="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spans="1:43" ht="27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spans="1:43" ht="27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spans="1:43" ht="27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spans="1:43" ht="27" customHeight="1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spans="1:43" ht="27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spans="1:43" ht="27" customHeight="1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spans="1:43" ht="27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spans="1:43" ht="27" customHeight="1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spans="1:43" ht="27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spans="1:43" ht="27" customHeight="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spans="1:43" ht="27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spans="1:43" ht="27" customHeight="1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spans="1:43" ht="27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spans="1:43" ht="27" customHeight="1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spans="1:43" ht="27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spans="1:43" ht="27" customHeight="1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spans="1:43" ht="27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spans="1:43" ht="27" customHeight="1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spans="1:43" ht="27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spans="1:43" ht="27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spans="1:43" ht="27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spans="1:43" ht="27" customHeight="1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spans="1:43" ht="27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spans="1:43" ht="27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spans="1:43" ht="27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spans="1:43" ht="27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spans="1:43" ht="27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spans="1:43" ht="27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spans="1:43" ht="27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spans="1:43" ht="27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spans="1:43" ht="27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spans="1:43" ht="27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spans="1:43" ht="27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spans="1:43" ht="27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spans="1:43" ht="27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spans="1:43" ht="27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spans="1:43" ht="27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spans="1:43" ht="27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spans="1:43" ht="27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spans="1:43" ht="27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spans="1:43" ht="27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spans="1:43" ht="27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spans="1:43" ht="27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spans="1:43" ht="27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</sheetData>
  <mergeCells count="15">
    <mergeCell ref="B1:T1"/>
    <mergeCell ref="D2:E2"/>
    <mergeCell ref="F2:G2"/>
    <mergeCell ref="H2:J2"/>
    <mergeCell ref="D3:E3"/>
    <mergeCell ref="F3:G3"/>
    <mergeCell ref="H3:J3"/>
    <mergeCell ref="B30:C30"/>
    <mergeCell ref="B35:C35"/>
    <mergeCell ref="B42:C42"/>
    <mergeCell ref="B50:C50"/>
    <mergeCell ref="B7:C7"/>
    <mergeCell ref="B13:C13"/>
    <mergeCell ref="B19:C19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Blank Sprint Backlog</vt:lpstr>
      <vt:lpstr>Blank Sprint Backlog (2)</vt:lpstr>
      <vt:lpstr>'Blank Sprint Backlog'!Print_Area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جود محمد عمير الشهراني</cp:lastModifiedBy>
  <cp:lastPrinted>2022-09-05T00:55:14Z</cp:lastPrinted>
  <dcterms:created xsi:type="dcterms:W3CDTF">2016-02-12T20:53:16Z</dcterms:created>
  <dcterms:modified xsi:type="dcterms:W3CDTF">2025-11-22T10:39:59Z</dcterms:modified>
</cp:coreProperties>
</file>